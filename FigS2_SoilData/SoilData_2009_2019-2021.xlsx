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b_m\Documents\Collaboration_JKI\Major Revision\"/>
    </mc:Choice>
  </mc:AlternateContent>
  <xr:revisionPtr revIDLastSave="0" documentId="8_{1F815416-8A6E-4551-B4C1-40717ED52F4B}" xr6:coauthVersionLast="47" xr6:coauthVersionMax="47" xr10:uidLastSave="{00000000-0000-0000-0000-000000000000}"/>
  <bookViews>
    <workbookView xWindow="-108" yWindow="-108" windowWidth="23256" windowHeight="13896"/>
  </bookViews>
  <sheets>
    <sheet name="soil_la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1" i="1" l="1"/>
  <c r="D61" i="1"/>
  <c r="B61" i="1" s="1"/>
  <c r="D60" i="1"/>
  <c r="B60" i="1" s="1"/>
  <c r="D59" i="1"/>
  <c r="B59" i="1" s="1"/>
  <c r="D58" i="1"/>
  <c r="B58" i="1" s="1"/>
  <c r="D57" i="1"/>
  <c r="B57" i="1" s="1"/>
  <c r="D56" i="1"/>
  <c r="B56" i="1" s="1"/>
  <c r="D55" i="1"/>
  <c r="B55" i="1" s="1"/>
  <c r="D54" i="1"/>
  <c r="B54" i="1" s="1"/>
  <c r="D53" i="1"/>
  <c r="B53" i="1" s="1"/>
  <c r="D52" i="1"/>
  <c r="B52" i="1" s="1"/>
  <c r="D51" i="1"/>
  <c r="B51" i="1" s="1"/>
  <c r="D50" i="1"/>
  <c r="B50" i="1" s="1"/>
  <c r="E61" i="1"/>
  <c r="C61" i="1" s="1"/>
  <c r="E60" i="1"/>
  <c r="C60" i="1" s="1"/>
  <c r="E59" i="1"/>
  <c r="C59" i="1" s="1"/>
  <c r="E58" i="1"/>
  <c r="C58" i="1" s="1"/>
  <c r="E57" i="1"/>
  <c r="C57" i="1" s="1"/>
  <c r="E56" i="1"/>
  <c r="C56" i="1" s="1"/>
  <c r="E55" i="1"/>
  <c r="C55" i="1" s="1"/>
  <c r="E54" i="1"/>
  <c r="C54" i="1" s="1"/>
  <c r="E53" i="1"/>
  <c r="C53" i="1" s="1"/>
  <c r="E52" i="1"/>
  <c r="C52" i="1" s="1"/>
  <c r="E51" i="1"/>
  <c r="E50" i="1"/>
  <c r="C50" i="1" s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</calcChain>
</file>

<file path=xl/sharedStrings.xml><?xml version="1.0" encoding="utf-8"?>
<sst xmlns="http://schemas.openxmlformats.org/spreadsheetml/2006/main" count="164" uniqueCount="16">
  <si>
    <t>Experimental_Year</t>
  </si>
  <si>
    <t>Tillage</t>
  </si>
  <si>
    <t>Fertilization</t>
  </si>
  <si>
    <t>N[%]</t>
  </si>
  <si>
    <t>OM[%]</t>
  </si>
  <si>
    <t>Cultivator</t>
  </si>
  <si>
    <t>extensive</t>
  </si>
  <si>
    <t>intensive</t>
  </si>
  <si>
    <t>Plough</t>
  </si>
  <si>
    <t>Var1</t>
  </si>
  <si>
    <t>Var2</t>
  </si>
  <si>
    <t>Var</t>
  </si>
  <si>
    <t>a1b3</t>
  </si>
  <si>
    <t>a1b1</t>
  </si>
  <si>
    <t>a2b1</t>
  </si>
  <si>
    <t>a2b3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</si>
</sst>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31" workbookViewId="0">
      <selection activeCell="J57" sqref="J57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s="1" t="s">
        <v>3</v>
      </c>
      <c r="H1" s="1" t="s">
        <v>4</v>
      </c>
    </row>
    <row r="2" spans="1:8" x14ac:dyDescent="0.3">
      <c r="A2">
        <v>2019</v>
      </c>
      <c r="B2" t="s">
        <v>5</v>
      </c>
      <c r="C2" t="s">
        <v>6</v>
      </c>
      <c r="D2" t="str">
        <f>IF(B2="Cultivator","a2","a1")</f>
        <v>a2</v>
      </c>
      <c r="E2" t="str">
        <f>IF(C2="extensive","b3","b1")</f>
        <v>b3</v>
      </c>
      <c r="F2" t="s">
        <v>15</v>
      </c>
      <c r="G2" s="2">
        <v>0.188</v>
      </c>
      <c r="H2" s="2">
        <v>3.7131565443999999</v>
      </c>
    </row>
    <row r="3" spans="1:8" x14ac:dyDescent="0.3">
      <c r="A3">
        <v>2019</v>
      </c>
      <c r="B3" t="s">
        <v>5</v>
      </c>
      <c r="C3" t="s">
        <v>7</v>
      </c>
      <c r="D3" t="str">
        <f t="shared" ref="C3:D50" si="0">IF(B3="Cultivator","a2","a1")</f>
        <v>a2</v>
      </c>
      <c r="E3" t="str">
        <f t="shared" ref="E3:E49" si="1">IF(C3="extensive","b3","b1")</f>
        <v>b1</v>
      </c>
      <c r="F3" t="s">
        <v>14</v>
      </c>
      <c r="G3" s="2">
        <v>0.19600000000000001</v>
      </c>
      <c r="H3" s="2">
        <v>3.9303548568000002</v>
      </c>
    </row>
    <row r="4" spans="1:8" x14ac:dyDescent="0.3">
      <c r="A4">
        <v>2019</v>
      </c>
      <c r="B4" t="s">
        <v>8</v>
      </c>
      <c r="C4" t="s">
        <v>7</v>
      </c>
      <c r="D4" t="str">
        <f t="shared" si="0"/>
        <v>a1</v>
      </c>
      <c r="E4" t="str">
        <f t="shared" si="1"/>
        <v>b1</v>
      </c>
      <c r="F4" t="s">
        <v>13</v>
      </c>
      <c r="G4" s="2">
        <v>0.13100000000000001</v>
      </c>
      <c r="H4" s="2">
        <v>2.8247660695999999</v>
      </c>
    </row>
    <row r="5" spans="1:8" x14ac:dyDescent="0.3">
      <c r="A5">
        <v>2019</v>
      </c>
      <c r="B5" t="s">
        <v>8</v>
      </c>
      <c r="C5" t="s">
        <v>6</v>
      </c>
      <c r="D5" t="str">
        <f t="shared" si="0"/>
        <v>a1</v>
      </c>
      <c r="E5" t="str">
        <f t="shared" si="1"/>
        <v>b3</v>
      </c>
      <c r="F5" t="s">
        <v>12</v>
      </c>
      <c r="G5" s="2">
        <v>0.124</v>
      </c>
      <c r="H5" s="2">
        <v>2.5364837892000001</v>
      </c>
    </row>
    <row r="6" spans="1:8" x14ac:dyDescent="0.3">
      <c r="A6">
        <v>2019</v>
      </c>
      <c r="B6" t="s">
        <v>5</v>
      </c>
      <c r="C6" t="s">
        <v>6</v>
      </c>
      <c r="D6" t="str">
        <f t="shared" si="0"/>
        <v>a2</v>
      </c>
      <c r="E6" t="str">
        <f t="shared" si="1"/>
        <v>b3</v>
      </c>
      <c r="F6" t="s">
        <v>15</v>
      </c>
      <c r="G6" s="2">
        <v>0.16300000000000001</v>
      </c>
      <c r="H6" s="2">
        <v>3.30195996</v>
      </c>
    </row>
    <row r="7" spans="1:8" x14ac:dyDescent="0.3">
      <c r="A7">
        <v>2019</v>
      </c>
      <c r="B7" t="s">
        <v>5</v>
      </c>
      <c r="C7" t="s">
        <v>7</v>
      </c>
      <c r="D7" t="str">
        <f t="shared" si="0"/>
        <v>a2</v>
      </c>
      <c r="E7" t="str">
        <f t="shared" si="1"/>
        <v>b1</v>
      </c>
      <c r="F7" t="s">
        <v>14</v>
      </c>
      <c r="G7" s="2">
        <v>0.18099999999999999</v>
      </c>
      <c r="H7" s="2">
        <v>3.6425677092000002</v>
      </c>
    </row>
    <row r="8" spans="1:8" x14ac:dyDescent="0.3">
      <c r="A8">
        <v>2019</v>
      </c>
      <c r="B8" t="s">
        <v>8</v>
      </c>
      <c r="C8" t="s">
        <v>7</v>
      </c>
      <c r="D8" t="str">
        <f t="shared" si="0"/>
        <v>a1</v>
      </c>
      <c r="E8" t="str">
        <f t="shared" si="1"/>
        <v>b1</v>
      </c>
      <c r="F8" t="s">
        <v>13</v>
      </c>
      <c r="G8" s="2">
        <v>0.128</v>
      </c>
      <c r="H8" s="2">
        <v>2.5090435707999998</v>
      </c>
    </row>
    <row r="9" spans="1:8" x14ac:dyDescent="0.3">
      <c r="A9">
        <v>2019</v>
      </c>
      <c r="B9" t="s">
        <v>8</v>
      </c>
      <c r="C9" t="s">
        <v>6</v>
      </c>
      <c r="D9" t="str">
        <f t="shared" si="0"/>
        <v>a1</v>
      </c>
      <c r="E9" t="str">
        <f t="shared" si="1"/>
        <v>b3</v>
      </c>
      <c r="F9" t="s">
        <v>12</v>
      </c>
      <c r="G9" s="2">
        <v>0.11799999999999999</v>
      </c>
      <c r="H9" s="2">
        <v>2.3833712116000001</v>
      </c>
    </row>
    <row r="10" spans="1:8" x14ac:dyDescent="0.3">
      <c r="A10">
        <v>2019</v>
      </c>
      <c r="B10" t="s">
        <v>5</v>
      </c>
      <c r="C10" t="s">
        <v>6</v>
      </c>
      <c r="D10" t="str">
        <f t="shared" si="0"/>
        <v>a2</v>
      </c>
      <c r="E10" t="str">
        <f t="shared" si="1"/>
        <v>b3</v>
      </c>
      <c r="F10" t="s">
        <v>15</v>
      </c>
      <c r="G10" s="2">
        <v>0.187</v>
      </c>
      <c r="H10" s="2">
        <v>3.4033339184</v>
      </c>
    </row>
    <row r="11" spans="1:8" x14ac:dyDescent="0.3">
      <c r="A11">
        <v>2019</v>
      </c>
      <c r="B11" t="s">
        <v>5</v>
      </c>
      <c r="C11" t="s">
        <v>7</v>
      </c>
      <c r="D11" t="str">
        <f t="shared" si="0"/>
        <v>a2</v>
      </c>
      <c r="E11" t="str">
        <f t="shared" si="1"/>
        <v>b1</v>
      </c>
      <c r="F11" t="s">
        <v>14</v>
      </c>
      <c r="G11" s="2">
        <v>0.192</v>
      </c>
      <c r="H11" s="2">
        <v>3.7761109903999999</v>
      </c>
    </row>
    <row r="12" spans="1:8" x14ac:dyDescent="0.3">
      <c r="A12">
        <v>2019</v>
      </c>
      <c r="B12" t="s">
        <v>8</v>
      </c>
      <c r="C12" t="s">
        <v>7</v>
      </c>
      <c r="D12" t="str">
        <f t="shared" si="0"/>
        <v>a1</v>
      </c>
      <c r="E12" t="str">
        <f t="shared" si="1"/>
        <v>b1</v>
      </c>
      <c r="F12" t="s">
        <v>13</v>
      </c>
      <c r="G12" s="2">
        <v>0.13700000000000001</v>
      </c>
      <c r="H12" s="2">
        <v>2.6653460656000001</v>
      </c>
    </row>
    <row r="13" spans="1:8" x14ac:dyDescent="0.3">
      <c r="A13">
        <v>2019</v>
      </c>
      <c r="B13" t="s">
        <v>8</v>
      </c>
      <c r="C13" t="s">
        <v>6</v>
      </c>
      <c r="D13" t="str">
        <f t="shared" si="0"/>
        <v>a1</v>
      </c>
      <c r="E13" t="str">
        <f t="shared" si="1"/>
        <v>b3</v>
      </c>
      <c r="F13" t="s">
        <v>12</v>
      </c>
      <c r="G13" s="2">
        <v>0.128</v>
      </c>
      <c r="H13" s="2">
        <v>2.5330599251999999</v>
      </c>
    </row>
    <row r="14" spans="1:8" x14ac:dyDescent="0.3">
      <c r="A14">
        <v>2019</v>
      </c>
      <c r="B14" t="s">
        <v>5</v>
      </c>
      <c r="C14" t="s">
        <v>6</v>
      </c>
      <c r="D14" t="str">
        <f t="shared" si="0"/>
        <v>a2</v>
      </c>
      <c r="E14" t="str">
        <f t="shared" si="1"/>
        <v>b3</v>
      </c>
      <c r="F14" t="s">
        <v>15</v>
      </c>
      <c r="G14" s="2">
        <v>0.17699999999999999</v>
      </c>
      <c r="H14" s="2">
        <v>3.5453213516000002</v>
      </c>
    </row>
    <row r="15" spans="1:8" x14ac:dyDescent="0.3">
      <c r="A15">
        <v>2019</v>
      </c>
      <c r="B15" t="s">
        <v>5</v>
      </c>
      <c r="C15" t="s">
        <v>7</v>
      </c>
      <c r="D15" t="str">
        <f t="shared" si="0"/>
        <v>a2</v>
      </c>
      <c r="E15" t="str">
        <f t="shared" si="1"/>
        <v>b1</v>
      </c>
      <c r="F15" t="s">
        <v>14</v>
      </c>
      <c r="G15" s="2">
        <v>0.182</v>
      </c>
      <c r="H15" s="2">
        <v>3.6668516283999999</v>
      </c>
    </row>
    <row r="16" spans="1:8" x14ac:dyDescent="0.3">
      <c r="A16">
        <v>2019</v>
      </c>
      <c r="B16" t="s">
        <v>8</v>
      </c>
      <c r="C16" t="s">
        <v>7</v>
      </c>
      <c r="D16" t="str">
        <f t="shared" si="0"/>
        <v>a1</v>
      </c>
      <c r="E16" t="str">
        <f t="shared" si="1"/>
        <v>b1</v>
      </c>
      <c r="F16" t="s">
        <v>13</v>
      </c>
      <c r="G16" s="2">
        <v>0.127</v>
      </c>
      <c r="H16" s="2">
        <v>2.4960175439999999</v>
      </c>
    </row>
    <row r="17" spans="1:8" x14ac:dyDescent="0.3">
      <c r="A17">
        <v>2019</v>
      </c>
      <c r="B17" t="s">
        <v>8</v>
      </c>
      <c r="C17" t="s">
        <v>6</v>
      </c>
      <c r="D17" t="str">
        <f t="shared" si="0"/>
        <v>a1</v>
      </c>
      <c r="E17" t="str">
        <f t="shared" si="1"/>
        <v>b3</v>
      </c>
      <c r="F17" t="s">
        <v>12</v>
      </c>
      <c r="G17" s="2">
        <v>0.11899999999999999</v>
      </c>
      <c r="H17" s="2">
        <v>2.3450908259999999</v>
      </c>
    </row>
    <row r="18" spans="1:8" x14ac:dyDescent="0.3">
      <c r="A18">
        <v>2020</v>
      </c>
      <c r="B18" t="s">
        <v>5</v>
      </c>
      <c r="C18" t="s">
        <v>6</v>
      </c>
      <c r="D18" t="str">
        <f t="shared" si="0"/>
        <v>a2</v>
      </c>
      <c r="E18" t="str">
        <f t="shared" si="1"/>
        <v>b3</v>
      </c>
      <c r="F18" t="s">
        <v>15</v>
      </c>
      <c r="G18" s="2">
        <v>0.18</v>
      </c>
      <c r="H18" s="2">
        <v>3.5</v>
      </c>
    </row>
    <row r="19" spans="1:8" x14ac:dyDescent="0.3">
      <c r="A19">
        <v>2020</v>
      </c>
      <c r="B19" t="s">
        <v>5</v>
      </c>
      <c r="C19" t="s">
        <v>7</v>
      </c>
      <c r="D19" t="str">
        <f t="shared" si="0"/>
        <v>a2</v>
      </c>
      <c r="E19" t="str">
        <f t="shared" si="1"/>
        <v>b1</v>
      </c>
      <c r="F19" t="s">
        <v>14</v>
      </c>
      <c r="G19" s="2">
        <v>0.18</v>
      </c>
      <c r="H19" s="2">
        <v>3.6</v>
      </c>
    </row>
    <row r="20" spans="1:8" x14ac:dyDescent="0.3">
      <c r="A20">
        <v>2020</v>
      </c>
      <c r="B20" t="s">
        <v>8</v>
      </c>
      <c r="C20" t="s">
        <v>7</v>
      </c>
      <c r="D20" t="str">
        <f t="shared" si="0"/>
        <v>a1</v>
      </c>
      <c r="E20" t="str">
        <f t="shared" si="1"/>
        <v>b1</v>
      </c>
      <c r="F20" t="s">
        <v>13</v>
      </c>
      <c r="G20" s="2">
        <v>0.14000000000000001</v>
      </c>
      <c r="H20" s="2">
        <v>2.8</v>
      </c>
    </row>
    <row r="21" spans="1:8" x14ac:dyDescent="0.3">
      <c r="A21">
        <v>2020</v>
      </c>
      <c r="B21" t="s">
        <v>8</v>
      </c>
      <c r="C21" t="s">
        <v>6</v>
      </c>
      <c r="D21" t="str">
        <f t="shared" si="0"/>
        <v>a1</v>
      </c>
      <c r="E21" t="str">
        <f t="shared" si="1"/>
        <v>b3</v>
      </c>
      <c r="F21" t="s">
        <v>12</v>
      </c>
      <c r="G21" s="2">
        <v>0.15</v>
      </c>
      <c r="H21" s="2">
        <v>3</v>
      </c>
    </row>
    <row r="22" spans="1:8" x14ac:dyDescent="0.3">
      <c r="A22">
        <v>2020</v>
      </c>
      <c r="B22" t="s">
        <v>5</v>
      </c>
      <c r="C22" t="s">
        <v>6</v>
      </c>
      <c r="D22" t="str">
        <f t="shared" si="0"/>
        <v>a2</v>
      </c>
      <c r="E22" t="str">
        <f t="shared" si="1"/>
        <v>b3</v>
      </c>
      <c r="F22" t="s">
        <v>15</v>
      </c>
      <c r="G22" s="2">
        <v>0.18</v>
      </c>
      <c r="H22" s="2">
        <v>3.5</v>
      </c>
    </row>
    <row r="23" spans="1:8" x14ac:dyDescent="0.3">
      <c r="A23">
        <v>2020</v>
      </c>
      <c r="B23" t="s">
        <v>5</v>
      </c>
      <c r="C23" t="s">
        <v>7</v>
      </c>
      <c r="D23" t="str">
        <f t="shared" si="0"/>
        <v>a2</v>
      </c>
      <c r="E23" t="str">
        <f t="shared" si="1"/>
        <v>b1</v>
      </c>
      <c r="F23" t="s">
        <v>14</v>
      </c>
      <c r="G23" s="2">
        <v>0.18</v>
      </c>
      <c r="H23" s="2">
        <v>3.5</v>
      </c>
    </row>
    <row r="24" spans="1:8" x14ac:dyDescent="0.3">
      <c r="A24">
        <v>2020</v>
      </c>
      <c r="B24" t="s">
        <v>8</v>
      </c>
      <c r="C24" t="s">
        <v>7</v>
      </c>
      <c r="D24" t="str">
        <f t="shared" si="0"/>
        <v>a1</v>
      </c>
      <c r="E24" t="str">
        <f t="shared" si="1"/>
        <v>b1</v>
      </c>
      <c r="F24" t="s">
        <v>13</v>
      </c>
      <c r="G24" s="2">
        <v>0.15</v>
      </c>
      <c r="H24" s="2">
        <v>2.9</v>
      </c>
    </row>
    <row r="25" spans="1:8" x14ac:dyDescent="0.3">
      <c r="A25">
        <v>2020</v>
      </c>
      <c r="B25" t="s">
        <v>8</v>
      </c>
      <c r="C25" t="s">
        <v>6</v>
      </c>
      <c r="D25" t="str">
        <f t="shared" si="0"/>
        <v>a1</v>
      </c>
      <c r="E25" t="str">
        <f t="shared" si="1"/>
        <v>b3</v>
      </c>
      <c r="F25" t="s">
        <v>12</v>
      </c>
      <c r="G25" s="2">
        <v>0.15</v>
      </c>
      <c r="H25" s="2">
        <v>2.9</v>
      </c>
    </row>
    <row r="26" spans="1:8" x14ac:dyDescent="0.3">
      <c r="A26">
        <v>2020</v>
      </c>
      <c r="B26" t="s">
        <v>5</v>
      </c>
      <c r="C26" t="s">
        <v>6</v>
      </c>
      <c r="D26" t="str">
        <f t="shared" si="0"/>
        <v>a2</v>
      </c>
      <c r="E26" t="str">
        <f t="shared" si="1"/>
        <v>b3</v>
      </c>
      <c r="F26" t="s">
        <v>15</v>
      </c>
      <c r="G26" s="2">
        <v>0.16</v>
      </c>
      <c r="H26" s="2">
        <v>3.2</v>
      </c>
    </row>
    <row r="27" spans="1:8" x14ac:dyDescent="0.3">
      <c r="A27">
        <v>2020</v>
      </c>
      <c r="B27" t="s">
        <v>5</v>
      </c>
      <c r="C27" t="s">
        <v>7</v>
      </c>
      <c r="D27" t="str">
        <f t="shared" si="0"/>
        <v>a2</v>
      </c>
      <c r="E27" t="str">
        <f t="shared" si="1"/>
        <v>b1</v>
      </c>
      <c r="F27" t="s">
        <v>14</v>
      </c>
      <c r="G27" s="2">
        <v>0.18</v>
      </c>
      <c r="H27" s="2">
        <v>3.5</v>
      </c>
    </row>
    <row r="28" spans="1:8" x14ac:dyDescent="0.3">
      <c r="A28">
        <v>2020</v>
      </c>
      <c r="B28" t="s">
        <v>8</v>
      </c>
      <c r="C28" t="s">
        <v>7</v>
      </c>
      <c r="D28" t="str">
        <f t="shared" si="0"/>
        <v>a1</v>
      </c>
      <c r="E28" t="str">
        <f t="shared" si="1"/>
        <v>b1</v>
      </c>
      <c r="F28" t="s">
        <v>13</v>
      </c>
      <c r="G28" s="2">
        <v>0.16</v>
      </c>
      <c r="H28" s="2">
        <v>3.1</v>
      </c>
    </row>
    <row r="29" spans="1:8" x14ac:dyDescent="0.3">
      <c r="A29">
        <v>2020</v>
      </c>
      <c r="B29" t="s">
        <v>8</v>
      </c>
      <c r="C29" t="s">
        <v>6</v>
      </c>
      <c r="D29" t="str">
        <f t="shared" si="0"/>
        <v>a1</v>
      </c>
      <c r="E29" t="str">
        <f t="shared" si="1"/>
        <v>b3</v>
      </c>
      <c r="F29" t="s">
        <v>12</v>
      </c>
      <c r="G29" s="2">
        <v>0.15</v>
      </c>
      <c r="H29" s="2">
        <v>3.1</v>
      </c>
    </row>
    <row r="30" spans="1:8" x14ac:dyDescent="0.3">
      <c r="A30">
        <v>2020</v>
      </c>
      <c r="B30" t="s">
        <v>5</v>
      </c>
      <c r="C30" t="s">
        <v>6</v>
      </c>
      <c r="D30" t="str">
        <f t="shared" si="0"/>
        <v>a2</v>
      </c>
      <c r="E30" t="str">
        <f t="shared" si="1"/>
        <v>b3</v>
      </c>
      <c r="F30" t="s">
        <v>15</v>
      </c>
      <c r="G30" s="2">
        <v>0.17</v>
      </c>
      <c r="H30" s="2">
        <v>3.4</v>
      </c>
    </row>
    <row r="31" spans="1:8" x14ac:dyDescent="0.3">
      <c r="A31">
        <v>2020</v>
      </c>
      <c r="B31" t="s">
        <v>5</v>
      </c>
      <c r="C31" t="s">
        <v>7</v>
      </c>
      <c r="D31" t="str">
        <f t="shared" si="0"/>
        <v>a2</v>
      </c>
      <c r="E31" t="str">
        <f t="shared" si="1"/>
        <v>b1</v>
      </c>
      <c r="F31" t="s">
        <v>14</v>
      </c>
      <c r="G31" s="2">
        <v>0.17</v>
      </c>
      <c r="H31" s="2">
        <v>3.3</v>
      </c>
    </row>
    <row r="32" spans="1:8" x14ac:dyDescent="0.3">
      <c r="A32">
        <v>2020</v>
      </c>
      <c r="B32" t="s">
        <v>8</v>
      </c>
      <c r="C32" t="s">
        <v>7</v>
      </c>
      <c r="D32" t="str">
        <f t="shared" si="0"/>
        <v>a1</v>
      </c>
      <c r="E32" t="str">
        <f t="shared" si="1"/>
        <v>b1</v>
      </c>
      <c r="F32" t="s">
        <v>13</v>
      </c>
      <c r="G32" s="2">
        <v>0.15</v>
      </c>
      <c r="H32" s="2">
        <v>2.9</v>
      </c>
    </row>
    <row r="33" spans="1:8" x14ac:dyDescent="0.3">
      <c r="A33">
        <v>2020</v>
      </c>
      <c r="B33" t="s">
        <v>8</v>
      </c>
      <c r="C33" t="s">
        <v>6</v>
      </c>
      <c r="D33" t="str">
        <f t="shared" si="0"/>
        <v>a1</v>
      </c>
      <c r="E33" t="str">
        <f t="shared" si="1"/>
        <v>b3</v>
      </c>
      <c r="F33" t="s">
        <v>12</v>
      </c>
      <c r="G33" s="2">
        <v>0.14000000000000001</v>
      </c>
      <c r="H33" s="2">
        <v>2.9</v>
      </c>
    </row>
    <row r="34" spans="1:8" x14ac:dyDescent="0.3">
      <c r="A34">
        <v>2021</v>
      </c>
      <c r="B34" t="s">
        <v>5</v>
      </c>
      <c r="C34" t="s">
        <v>6</v>
      </c>
      <c r="D34" t="str">
        <f t="shared" si="0"/>
        <v>a2</v>
      </c>
      <c r="E34" t="str">
        <f t="shared" si="1"/>
        <v>b3</v>
      </c>
      <c r="F34" t="s">
        <v>15</v>
      </c>
      <c r="G34" s="2">
        <v>0.19</v>
      </c>
      <c r="H34" s="2">
        <v>3.4</v>
      </c>
    </row>
    <row r="35" spans="1:8" x14ac:dyDescent="0.3">
      <c r="A35">
        <v>2021</v>
      </c>
      <c r="B35" t="s">
        <v>5</v>
      </c>
      <c r="C35" t="s">
        <v>7</v>
      </c>
      <c r="D35" t="str">
        <f t="shared" si="0"/>
        <v>a2</v>
      </c>
      <c r="E35" t="str">
        <f t="shared" si="1"/>
        <v>b1</v>
      </c>
      <c r="F35" t="s">
        <v>14</v>
      </c>
      <c r="G35" s="2">
        <v>0.21</v>
      </c>
      <c r="H35" s="2">
        <v>3.7</v>
      </c>
    </row>
    <row r="36" spans="1:8" x14ac:dyDescent="0.3">
      <c r="A36">
        <v>2021</v>
      </c>
      <c r="B36" t="s">
        <v>8</v>
      </c>
      <c r="C36" t="s">
        <v>7</v>
      </c>
      <c r="D36" t="str">
        <f t="shared" si="0"/>
        <v>a1</v>
      </c>
      <c r="E36" t="str">
        <f t="shared" si="1"/>
        <v>b1</v>
      </c>
      <c r="F36" t="s">
        <v>13</v>
      </c>
      <c r="G36" s="2">
        <v>0.16</v>
      </c>
      <c r="H36" s="2">
        <v>2.6</v>
      </c>
    </row>
    <row r="37" spans="1:8" x14ac:dyDescent="0.3">
      <c r="A37">
        <v>2021</v>
      </c>
      <c r="B37" t="s">
        <v>8</v>
      </c>
      <c r="C37" t="s">
        <v>6</v>
      </c>
      <c r="D37" t="str">
        <f t="shared" si="0"/>
        <v>a1</v>
      </c>
      <c r="E37" t="str">
        <f t="shared" si="1"/>
        <v>b3</v>
      </c>
      <c r="F37" t="s">
        <v>12</v>
      </c>
      <c r="G37" s="2">
        <v>0.16</v>
      </c>
      <c r="H37" s="2">
        <v>2.7</v>
      </c>
    </row>
    <row r="38" spans="1:8" x14ac:dyDescent="0.3">
      <c r="A38">
        <v>2021</v>
      </c>
      <c r="B38" t="s">
        <v>5</v>
      </c>
      <c r="C38" t="s">
        <v>6</v>
      </c>
      <c r="D38" t="str">
        <f t="shared" si="0"/>
        <v>a2</v>
      </c>
      <c r="E38" t="str">
        <f t="shared" si="1"/>
        <v>b3</v>
      </c>
      <c r="F38" t="s">
        <v>15</v>
      </c>
      <c r="G38" s="2">
        <v>0.2</v>
      </c>
      <c r="H38" s="2">
        <v>3.5</v>
      </c>
    </row>
    <row r="39" spans="1:8" x14ac:dyDescent="0.3">
      <c r="A39">
        <v>2021</v>
      </c>
      <c r="B39" t="s">
        <v>5</v>
      </c>
      <c r="C39" t="s">
        <v>7</v>
      </c>
      <c r="D39" t="str">
        <f t="shared" si="0"/>
        <v>a2</v>
      </c>
      <c r="E39" t="str">
        <f t="shared" si="1"/>
        <v>b1</v>
      </c>
      <c r="F39" t="s">
        <v>14</v>
      </c>
      <c r="G39" s="2">
        <v>0.22</v>
      </c>
      <c r="H39" s="2">
        <v>3.8</v>
      </c>
    </row>
    <row r="40" spans="1:8" x14ac:dyDescent="0.3">
      <c r="A40">
        <v>2021</v>
      </c>
      <c r="B40" t="s">
        <v>8</v>
      </c>
      <c r="C40" t="s">
        <v>7</v>
      </c>
      <c r="D40" t="str">
        <f t="shared" si="0"/>
        <v>a1</v>
      </c>
      <c r="E40" t="str">
        <f t="shared" si="1"/>
        <v>b1</v>
      </c>
      <c r="F40" t="s">
        <v>13</v>
      </c>
      <c r="G40" s="2">
        <v>0.15</v>
      </c>
      <c r="H40" s="2">
        <v>2.7</v>
      </c>
    </row>
    <row r="41" spans="1:8" x14ac:dyDescent="0.3">
      <c r="A41">
        <v>2021</v>
      </c>
      <c r="B41" t="s">
        <v>8</v>
      </c>
      <c r="C41" t="s">
        <v>6</v>
      </c>
      <c r="D41" t="str">
        <f t="shared" si="0"/>
        <v>a1</v>
      </c>
      <c r="E41" t="str">
        <f t="shared" si="1"/>
        <v>b3</v>
      </c>
      <c r="F41" t="s">
        <v>12</v>
      </c>
      <c r="G41" s="2">
        <v>0.15</v>
      </c>
      <c r="H41" s="2">
        <v>2.6</v>
      </c>
    </row>
    <row r="42" spans="1:8" x14ac:dyDescent="0.3">
      <c r="A42">
        <v>2021</v>
      </c>
      <c r="B42" t="s">
        <v>5</v>
      </c>
      <c r="C42" t="s">
        <v>6</v>
      </c>
      <c r="D42" t="str">
        <f t="shared" si="0"/>
        <v>a2</v>
      </c>
      <c r="E42" t="str">
        <f t="shared" si="1"/>
        <v>b3</v>
      </c>
      <c r="F42" t="s">
        <v>15</v>
      </c>
      <c r="G42" s="2">
        <v>0.19</v>
      </c>
      <c r="H42" s="2">
        <v>3.4</v>
      </c>
    </row>
    <row r="43" spans="1:8" x14ac:dyDescent="0.3">
      <c r="A43">
        <v>2021</v>
      </c>
      <c r="B43" t="s">
        <v>5</v>
      </c>
      <c r="C43" t="s">
        <v>7</v>
      </c>
      <c r="D43" t="str">
        <f t="shared" si="0"/>
        <v>a2</v>
      </c>
      <c r="E43" t="str">
        <f t="shared" si="1"/>
        <v>b1</v>
      </c>
      <c r="F43" t="s">
        <v>14</v>
      </c>
      <c r="G43" s="2">
        <v>0.21</v>
      </c>
      <c r="H43" s="2">
        <v>3.6</v>
      </c>
    </row>
    <row r="44" spans="1:8" x14ac:dyDescent="0.3">
      <c r="A44">
        <v>2021</v>
      </c>
      <c r="B44" t="s">
        <v>8</v>
      </c>
      <c r="C44" t="s">
        <v>7</v>
      </c>
      <c r="D44" t="str">
        <f t="shared" si="0"/>
        <v>a1</v>
      </c>
      <c r="E44" t="str">
        <f t="shared" si="1"/>
        <v>b1</v>
      </c>
      <c r="F44" t="s">
        <v>13</v>
      </c>
      <c r="G44" s="2">
        <v>0.17</v>
      </c>
      <c r="H44" s="2">
        <v>2.8</v>
      </c>
    </row>
    <row r="45" spans="1:8" x14ac:dyDescent="0.3">
      <c r="A45">
        <v>2021</v>
      </c>
      <c r="B45" t="s">
        <v>8</v>
      </c>
      <c r="C45" t="s">
        <v>6</v>
      </c>
      <c r="D45" t="str">
        <f t="shared" si="0"/>
        <v>a1</v>
      </c>
      <c r="E45" t="str">
        <f t="shared" si="1"/>
        <v>b3</v>
      </c>
      <c r="F45" t="s">
        <v>12</v>
      </c>
      <c r="G45" s="2">
        <v>0.16</v>
      </c>
      <c r="H45" s="2">
        <v>2.8</v>
      </c>
    </row>
    <row r="46" spans="1:8" x14ac:dyDescent="0.3">
      <c r="A46">
        <v>2021</v>
      </c>
      <c r="B46" t="s">
        <v>5</v>
      </c>
      <c r="C46" t="s">
        <v>6</v>
      </c>
      <c r="D46" t="str">
        <f t="shared" si="0"/>
        <v>a2</v>
      </c>
      <c r="E46" t="str">
        <f t="shared" si="1"/>
        <v>b3</v>
      </c>
      <c r="F46" t="s">
        <v>15</v>
      </c>
      <c r="G46" s="2">
        <v>0.2</v>
      </c>
      <c r="H46" s="2">
        <v>3.4</v>
      </c>
    </row>
    <row r="47" spans="1:8" x14ac:dyDescent="0.3">
      <c r="A47">
        <v>2021</v>
      </c>
      <c r="B47" t="s">
        <v>5</v>
      </c>
      <c r="C47" t="s">
        <v>7</v>
      </c>
      <c r="D47" t="str">
        <f t="shared" si="0"/>
        <v>a2</v>
      </c>
      <c r="E47" t="str">
        <f t="shared" si="1"/>
        <v>b1</v>
      </c>
      <c r="F47" t="s">
        <v>14</v>
      </c>
      <c r="G47" s="2">
        <v>0.21</v>
      </c>
      <c r="H47" s="2">
        <v>3.5</v>
      </c>
    </row>
    <row r="48" spans="1:8" x14ac:dyDescent="0.3">
      <c r="A48">
        <v>2021</v>
      </c>
      <c r="B48" t="s">
        <v>8</v>
      </c>
      <c r="C48" t="s">
        <v>7</v>
      </c>
      <c r="D48" t="str">
        <f t="shared" si="0"/>
        <v>a1</v>
      </c>
      <c r="E48" t="str">
        <f t="shared" si="1"/>
        <v>b1</v>
      </c>
      <c r="F48" t="s">
        <v>13</v>
      </c>
      <c r="G48" s="2">
        <v>0.16</v>
      </c>
      <c r="H48" s="2">
        <v>2.7</v>
      </c>
    </row>
    <row r="49" spans="1:8" x14ac:dyDescent="0.3">
      <c r="A49">
        <v>2021</v>
      </c>
      <c r="B49" t="s">
        <v>8</v>
      </c>
      <c r="C49" t="s">
        <v>6</v>
      </c>
      <c r="D49" t="str">
        <f t="shared" si="0"/>
        <v>a1</v>
      </c>
      <c r="E49" t="str">
        <f t="shared" si="1"/>
        <v>b3</v>
      </c>
      <c r="F49" t="s">
        <v>12</v>
      </c>
      <c r="G49" s="2">
        <v>0.15</v>
      </c>
      <c r="H49" s="2">
        <v>2.6</v>
      </c>
    </row>
    <row r="50" spans="1:8" x14ac:dyDescent="0.3">
      <c r="A50">
        <v>2009</v>
      </c>
      <c r="B50" t="str">
        <f>IF(D50="a2","Cultivator","Plough")</f>
        <v>Plough</v>
      </c>
      <c r="C50" t="str">
        <f>IF(E50="b3","extensive","intensive")</f>
        <v>extensive</v>
      </c>
      <c r="D50" t="str">
        <f>LEFT(F50,2)</f>
        <v>a1</v>
      </c>
      <c r="E50" t="str">
        <f>RIGHT(F50,2)</f>
        <v>b3</v>
      </c>
      <c r="F50" t="s">
        <v>12</v>
      </c>
      <c r="G50" s="2">
        <v>9.4500000000000001E-2</v>
      </c>
      <c r="H50" s="2">
        <v>2.3486599999999997</v>
      </c>
    </row>
    <row r="51" spans="1:8" x14ac:dyDescent="0.3">
      <c r="A51">
        <v>2009</v>
      </c>
      <c r="B51" t="str">
        <f t="shared" ref="B51:B61" si="2">IF(D51="a2","Cultivator","Plough")</f>
        <v>Plough</v>
      </c>
      <c r="C51" t="str">
        <f t="shared" ref="C51:C61" si="3">IF(E51="b3","extensive","intensive")</f>
        <v>intensive</v>
      </c>
      <c r="D51" t="str">
        <f t="shared" ref="D51:D61" si="4">LEFT(F51,2)</f>
        <v>a1</v>
      </c>
      <c r="E51" t="str">
        <f t="shared" ref="E51:E61" si="5">RIGHT(F51,2)</f>
        <v>b1</v>
      </c>
      <c r="F51" t="s">
        <v>13</v>
      </c>
      <c r="G51" s="2">
        <v>8.8499999999999995E-2</v>
      </c>
      <c r="H51" s="2">
        <v>2.3366199999999999</v>
      </c>
    </row>
    <row r="52" spans="1:8" x14ac:dyDescent="0.3">
      <c r="A52">
        <v>2009</v>
      </c>
      <c r="B52" t="str">
        <f t="shared" si="2"/>
        <v>Plough</v>
      </c>
      <c r="C52" t="str">
        <f t="shared" si="3"/>
        <v>intensive</v>
      </c>
      <c r="D52" t="str">
        <f t="shared" si="4"/>
        <v>a1</v>
      </c>
      <c r="E52" t="str">
        <f t="shared" si="5"/>
        <v>b1</v>
      </c>
      <c r="F52" t="s">
        <v>13</v>
      </c>
      <c r="G52" s="2">
        <v>9.1499999999999998E-2</v>
      </c>
      <c r="H52" s="2">
        <v>2.2626599999999994</v>
      </c>
    </row>
    <row r="53" spans="1:8" x14ac:dyDescent="0.3">
      <c r="A53">
        <v>2009</v>
      </c>
      <c r="B53" t="str">
        <f t="shared" si="2"/>
        <v>Plough</v>
      </c>
      <c r="C53" t="str">
        <f t="shared" si="3"/>
        <v>extensive</v>
      </c>
      <c r="D53" t="str">
        <f t="shared" si="4"/>
        <v>a1</v>
      </c>
      <c r="E53" t="str">
        <f t="shared" si="5"/>
        <v>b3</v>
      </c>
      <c r="F53" t="s">
        <v>12</v>
      </c>
      <c r="G53" s="2">
        <v>7.9500000000000001E-2</v>
      </c>
      <c r="H53" s="2">
        <v>2.2772800000000002</v>
      </c>
    </row>
    <row r="54" spans="1:8" x14ac:dyDescent="0.3">
      <c r="A54">
        <v>2009</v>
      </c>
      <c r="B54" t="str">
        <f t="shared" si="2"/>
        <v>Plough</v>
      </c>
      <c r="C54" t="str">
        <f t="shared" si="3"/>
        <v>intensive</v>
      </c>
      <c r="D54" t="str">
        <f t="shared" si="4"/>
        <v>a1</v>
      </c>
      <c r="E54" t="str">
        <f t="shared" si="5"/>
        <v>b1</v>
      </c>
      <c r="F54" t="s">
        <v>13</v>
      </c>
      <c r="G54" s="2">
        <v>8.4999999999999992E-2</v>
      </c>
      <c r="H54" s="2">
        <v>2.3486599999999997</v>
      </c>
    </row>
    <row r="55" spans="1:8" x14ac:dyDescent="0.3">
      <c r="A55">
        <v>2009</v>
      </c>
      <c r="B55" t="str">
        <f t="shared" si="2"/>
        <v>Plough</v>
      </c>
      <c r="C55" t="str">
        <f t="shared" si="3"/>
        <v>intensive</v>
      </c>
      <c r="D55" t="str">
        <f t="shared" si="4"/>
        <v>a1</v>
      </c>
      <c r="E55" t="str">
        <f t="shared" si="5"/>
        <v>b1</v>
      </c>
      <c r="F55" t="s">
        <v>13</v>
      </c>
      <c r="G55" s="2">
        <v>9.0499999999999997E-2</v>
      </c>
      <c r="H55" s="2">
        <v>2.4492799999999999</v>
      </c>
    </row>
    <row r="56" spans="1:8" x14ac:dyDescent="0.3">
      <c r="A56">
        <v>2009</v>
      </c>
      <c r="B56" t="str">
        <f t="shared" si="2"/>
        <v>Cultivator</v>
      </c>
      <c r="C56" t="str">
        <f t="shared" si="3"/>
        <v>intensive</v>
      </c>
      <c r="D56" t="str">
        <f t="shared" si="4"/>
        <v>a2</v>
      </c>
      <c r="E56" t="str">
        <f t="shared" si="5"/>
        <v>b1</v>
      </c>
      <c r="F56" t="s">
        <v>14</v>
      </c>
      <c r="G56" s="2">
        <v>0.12</v>
      </c>
      <c r="H56" s="2">
        <v>2.88666482</v>
      </c>
    </row>
    <row r="57" spans="1:8" x14ac:dyDescent="0.3">
      <c r="A57">
        <v>2009</v>
      </c>
      <c r="B57" t="str">
        <f t="shared" si="2"/>
        <v>Cultivator</v>
      </c>
      <c r="C57" t="str">
        <f t="shared" si="3"/>
        <v>intensive</v>
      </c>
      <c r="D57" t="str">
        <f t="shared" si="4"/>
        <v>a2</v>
      </c>
      <c r="E57" t="str">
        <f t="shared" si="5"/>
        <v>b1</v>
      </c>
      <c r="F57" t="s">
        <v>14</v>
      </c>
      <c r="G57" s="2">
        <v>9.7500000000000003E-2</v>
      </c>
      <c r="H57" s="2">
        <v>2.6694399999999998</v>
      </c>
    </row>
    <row r="58" spans="1:8" x14ac:dyDescent="0.3">
      <c r="A58">
        <v>2009</v>
      </c>
      <c r="B58" t="str">
        <f t="shared" si="2"/>
        <v>Cultivator</v>
      </c>
      <c r="C58" t="str">
        <f t="shared" si="3"/>
        <v>extensive</v>
      </c>
      <c r="D58" t="str">
        <f t="shared" si="4"/>
        <v>a2</v>
      </c>
      <c r="E58" t="str">
        <f t="shared" si="5"/>
        <v>b3</v>
      </c>
      <c r="F58" t="s">
        <v>15</v>
      </c>
      <c r="G58" s="2">
        <v>0.1215</v>
      </c>
      <c r="H58" s="2">
        <v>2.8500399999999999</v>
      </c>
    </row>
    <row r="59" spans="1:8" x14ac:dyDescent="0.3">
      <c r="A59">
        <v>2009</v>
      </c>
      <c r="B59" t="str">
        <f t="shared" si="2"/>
        <v>Cultivator</v>
      </c>
      <c r="C59" t="str">
        <f t="shared" si="3"/>
        <v>intensive</v>
      </c>
      <c r="D59" t="str">
        <f t="shared" si="4"/>
        <v>a2</v>
      </c>
      <c r="E59" t="str">
        <f t="shared" si="5"/>
        <v>b1</v>
      </c>
      <c r="F59" t="s">
        <v>14</v>
      </c>
      <c r="G59" s="2">
        <v>0.1075</v>
      </c>
      <c r="H59" s="2">
        <v>2.8036000000000003</v>
      </c>
    </row>
    <row r="60" spans="1:8" x14ac:dyDescent="0.3">
      <c r="A60">
        <v>2009</v>
      </c>
      <c r="B60" t="str">
        <f t="shared" si="2"/>
        <v>Cultivator</v>
      </c>
      <c r="C60" t="str">
        <f t="shared" si="3"/>
        <v>extensive</v>
      </c>
      <c r="D60" t="str">
        <f t="shared" si="4"/>
        <v>a2</v>
      </c>
      <c r="E60" t="str">
        <f t="shared" si="5"/>
        <v>b3</v>
      </c>
      <c r="F60" t="s">
        <v>15</v>
      </c>
      <c r="G60" s="2">
        <v>0.1075</v>
      </c>
      <c r="H60" s="2">
        <v>2.61612</v>
      </c>
    </row>
    <row r="61" spans="1:8" x14ac:dyDescent="0.3">
      <c r="A61">
        <v>2009</v>
      </c>
      <c r="B61" t="str">
        <f t="shared" si="2"/>
        <v>Cultivator</v>
      </c>
      <c r="C61" t="str">
        <f t="shared" si="3"/>
        <v>intensive</v>
      </c>
      <c r="D61" t="str">
        <f t="shared" si="4"/>
        <v>a2</v>
      </c>
      <c r="E61" t="str">
        <f t="shared" si="5"/>
        <v>b1</v>
      </c>
      <c r="F61" t="s">
        <v>14</v>
      </c>
      <c r="G61" s="2">
        <v>0.10700000000000001</v>
      </c>
      <c r="H61" s="2">
        <v>2.9171200000000002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soil_lab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Raab, Marie</dc:creator>
  <cp:lastModifiedBy>Raab, Marie</cp:lastModifiedBy>
  <dcterms:created xsi:type="dcterms:W3CDTF">2026-03-06T09:24:27Z</dcterms:created>
  <dcterms:modified xsi:type="dcterms:W3CDTF">2026-03-06T09:24:27Z</dcterms:modified>
</cp:coreProperties>
</file>